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printspace\Downloads\"/>
    </mc:Choice>
  </mc:AlternateContent>
  <xr:revisionPtr revIDLastSave="0" documentId="8_{83CB4E36-62E0-41A7-8E41-8D3B71007319}" xr6:coauthVersionLast="47" xr6:coauthVersionMax="47" xr10:uidLastSave="{00000000-0000-0000-0000-000000000000}"/>
  <bookViews>
    <workbookView xWindow="-108" yWindow="-108" windowWidth="23256" windowHeight="12576" xr2:uid="{FA9A434E-EB77-484F-81BD-180F9A2A7BBC}"/>
  </bookViews>
  <sheets>
    <sheet name=" Management fee Recharge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18" i="1" s="1"/>
  <c r="J21" i="1" s="1"/>
</calcChain>
</file>

<file path=xl/sharedStrings.xml><?xml version="1.0" encoding="utf-8"?>
<sst xmlns="http://schemas.openxmlformats.org/spreadsheetml/2006/main" count="62" uniqueCount="22">
  <si>
    <t xml:space="preserve">GBP Amount </t>
  </si>
  <si>
    <t>Employee</t>
  </si>
  <si>
    <t xml:space="preserve">  Total Payments</t>
  </si>
  <si>
    <t xml:space="preserve">  Employer NIC</t>
  </si>
  <si>
    <t>Total Employer Pension</t>
  </si>
  <si>
    <t xml:space="preserve">Month </t>
  </si>
  <si>
    <t xml:space="preserve">Department </t>
  </si>
  <si>
    <t xml:space="preserve">Category </t>
  </si>
  <si>
    <t>Total Cost</t>
  </si>
  <si>
    <t>Percentage of time spend for US Operations</t>
  </si>
  <si>
    <t>Management Fee Recharge</t>
  </si>
  <si>
    <t>Row Labels</t>
  </si>
  <si>
    <t>Sum of Management Fee Recharge</t>
  </si>
  <si>
    <t>David Lucken</t>
  </si>
  <si>
    <t>Director</t>
  </si>
  <si>
    <t xml:space="preserve">Directors Remuneration </t>
  </si>
  <si>
    <t>David Moy</t>
  </si>
  <si>
    <t>Giclee</t>
  </si>
  <si>
    <t>Cost of sale</t>
  </si>
  <si>
    <t>Stuart Waplington</t>
  </si>
  <si>
    <t>Grand Total</t>
  </si>
  <si>
    <t xml:space="preserve">USD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</si>
</sst>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43" fontId="0" fillId="0" borderId="0" xfId="1" applyFont="1"/>
    <xf numFmtId="17" fontId="0" fillId="0" borderId="0" xfId="0" applyNumberFormat="1"/>
    <xf numFmtId="9" fontId="0" fillId="0" borderId="0" xfId="2" applyFont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3" fontId="0" fillId="0" borderId="0" xfId="0" applyNumberFormat="1"/>
  </cellXfs>
  <cellStyles count="3">
    <cellStyle name="Comma" xfId="1" builtinId="3"/>
    <cellStyle name="Normal" xfId="0" builtinId="0"/>
    <cellStyle name="Per 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https://printspacestudios-my.sharepoint.com/personal/alpesh_printspacestudios_onmicrosoft_com/Documents/Finance/FD/Alpesh/Accounts/Statutory%20Accounts/2024/Printspace%20Studios%20Ltd%20Accounts%20FY24%2012.11.24/3.%20Workings/1.%20P&amp;L.xlsx?66D69AEE" TargetMode="External"/><Relationship Id="rId2" Type="http://schemas.openxmlformats.org/officeDocument/2006/relationships/externalLinkPath" Target="file:///\\66D69AEE\1.%20P&amp;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printspace" refreshedDate="45604.630768634262" createdVersion="8" refreshedVersion="8" minRefreshableVersion="3" recordCount="15" xr:uid="{3B4FB68B-39CA-433B-80E5-E51D21D033E7}">
  <cacheSource type="worksheet">
    <worksheetSource ref="A2:J17" sheet=" Management fee Recharge" r:id="rId2"/>
  </cacheSource>
  <cacheFields count="10">
    <cacheField name="Employee" numFmtId="0">
      <sharedItems/>
    </cacheField>
    <cacheField name="  Total Payments" numFmtId="43">
      <sharedItems containsSemiMixedTypes="0" containsString="0" containsNumber="1" containsInteger="1" minValue="500" maxValue="10000"/>
    </cacheField>
    <cacheField name="  Employer NIC" numFmtId="43">
      <sharedItems containsSemiMixedTypes="0" containsString="0" containsNumber="1" minValue="0" maxValue="1380"/>
    </cacheField>
    <cacheField name="Total Employer Pension" numFmtId="43">
      <sharedItems containsSemiMixedTypes="0" containsString="0" containsNumber="1" minValue="7.2" maxValue="110.07"/>
    </cacheField>
    <cacheField name="Month " numFmtId="17">
      <sharedItems containsSemiMixedTypes="0" containsNonDate="0" containsDate="1" containsString="0" minDate="2024-01-01T00:00:00" maxDate="2024-05-02T00:00:00"/>
    </cacheField>
    <cacheField name="Department " numFmtId="0">
      <sharedItems count="2">
        <s v="Director"/>
        <s v="Giclee"/>
      </sharedItems>
    </cacheField>
    <cacheField name="Category " numFmtId="0">
      <sharedItems count="2">
        <s v="Directors Remuneration "/>
        <s v="Cost of sale"/>
      </sharedItems>
    </cacheField>
    <cacheField name="Total Cost" numFmtId="43">
      <sharedItems containsSemiMixedTypes="0" containsString="0" containsNumber="1" minValue="507.2" maxValue="11490.07"/>
    </cacheField>
    <cacheField name="Percentage of time spend for US Operations" numFmtId="9">
      <sharedItems containsSemiMixedTypes="0" containsString="0" containsNumber="1" minValue="0.5" maxValue="0.85"/>
    </cacheField>
    <cacheField name="Management Fee Recharge" numFmtId="43">
      <sharedItems containsSemiMixedTypes="0" containsString="0" containsNumber="1" minValue="380.4" maxValue="8617.5524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David Lucken"/>
    <n v="10000"/>
    <n v="1380"/>
    <n v="110.07"/>
    <d v="2024-01-01T00:00:00"/>
    <x v="0"/>
    <x v="0"/>
    <n v="11490.07"/>
    <n v="0.5"/>
    <n v="5745.0349999999999"/>
  </r>
  <r>
    <s v="David Moy"/>
    <n v="6250"/>
    <n v="862.5"/>
    <n v="110.07"/>
    <d v="2024-01-01T00:00:00"/>
    <x v="1"/>
    <x v="1"/>
    <n v="7222.57"/>
    <n v="0.5"/>
    <n v="3611.2849999999999"/>
  </r>
  <r>
    <s v="Stuart Waplington"/>
    <n v="8250"/>
    <n v="1138.5"/>
    <n v="55.034999999999997"/>
    <d v="2024-01-01T00:00:00"/>
    <x v="0"/>
    <x v="0"/>
    <n v="9443.5349999999999"/>
    <n v="0.85"/>
    <n v="8027.0047500000001"/>
  </r>
  <r>
    <s v="David Moy"/>
    <n v="6250"/>
    <n v="862.5"/>
    <n v="110.07"/>
    <d v="2024-02-01T00:00:00"/>
    <x v="1"/>
    <x v="1"/>
    <n v="7222.57"/>
    <n v="0.5"/>
    <n v="3611.2849999999999"/>
  </r>
  <r>
    <s v="David Lucken"/>
    <n v="10000"/>
    <n v="1380"/>
    <n v="110.07"/>
    <d v="2024-02-01T00:00:00"/>
    <x v="0"/>
    <x v="0"/>
    <n v="11490.07"/>
    <n v="0.5"/>
    <n v="5745.0349999999999"/>
  </r>
  <r>
    <s v="Stuart Waplington"/>
    <n v="8250"/>
    <n v="1138.5"/>
    <n v="55.034999999999997"/>
    <d v="2024-02-01T00:00:00"/>
    <x v="0"/>
    <x v="0"/>
    <n v="9443.5349999999999"/>
    <n v="0.8"/>
    <n v="7554.8280000000004"/>
  </r>
  <r>
    <s v="David Moy"/>
    <n v="6250"/>
    <n v="862.5"/>
    <n v="110.07"/>
    <d v="2024-03-01T00:00:00"/>
    <x v="1"/>
    <x v="1"/>
    <n v="7222.57"/>
    <n v="0.5"/>
    <n v="3611.2849999999999"/>
  </r>
  <r>
    <s v="David Lucken"/>
    <n v="10000"/>
    <n v="1380"/>
    <n v="110.07"/>
    <d v="2024-03-01T00:00:00"/>
    <x v="0"/>
    <x v="0"/>
    <n v="11490.07"/>
    <n v="0.75"/>
    <n v="8617.5524999999998"/>
  </r>
  <r>
    <s v="Stuart Waplington"/>
    <n v="8250"/>
    <n v="1138.5"/>
    <n v="55.034999999999997"/>
    <d v="2024-03-01T00:00:00"/>
    <x v="0"/>
    <x v="0"/>
    <n v="9443.5349999999999"/>
    <n v="0.8"/>
    <n v="7554.8280000000004"/>
  </r>
  <r>
    <s v="David Lucken"/>
    <n v="10000"/>
    <n v="124.2"/>
    <n v="110.07"/>
    <d v="2024-04-01T00:00:00"/>
    <x v="0"/>
    <x v="0"/>
    <n v="10234.27"/>
    <n v="0.8"/>
    <n v="8187.4160000000011"/>
  </r>
  <r>
    <s v="David Moy"/>
    <n v="6250"/>
    <n v="0"/>
    <n v="110.07"/>
    <d v="2024-04-01T00:00:00"/>
    <x v="1"/>
    <x v="1"/>
    <n v="6360.07"/>
    <n v="0.8"/>
    <n v="5088.0560000000005"/>
  </r>
  <r>
    <s v="Stuart Waplington"/>
    <n v="500"/>
    <n v="0"/>
    <n v="7.2"/>
    <d v="2024-04-01T00:00:00"/>
    <x v="0"/>
    <x v="0"/>
    <n v="507.2"/>
    <n v="0.8"/>
    <n v="405.76"/>
  </r>
  <r>
    <s v="David Lucken"/>
    <n v="10000"/>
    <n v="1380"/>
    <n v="110.07"/>
    <d v="2024-05-01T00:00:00"/>
    <x v="0"/>
    <x v="0"/>
    <n v="11490.07"/>
    <n v="0.75"/>
    <n v="8617.5524999999998"/>
  </r>
  <r>
    <s v="David Moy"/>
    <n v="6250"/>
    <n v="469.2"/>
    <n v="110.07"/>
    <d v="2024-05-01T00:00:00"/>
    <x v="1"/>
    <x v="1"/>
    <n v="6829.2699999999995"/>
    <n v="0.5"/>
    <n v="3414.6349999999998"/>
  </r>
  <r>
    <s v="Stuart Waplington"/>
    <n v="500"/>
    <n v="0"/>
    <n v="7.2"/>
    <d v="2024-05-01T00:00:00"/>
    <x v="0"/>
    <x v="0"/>
    <n v="507.2"/>
    <n v="0.75"/>
    <n v="380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64473-D46C-4D4D-A66A-A32569038CE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:N5" firstHeaderRow="1" firstDataRow="1" firstDataCol="1"/>
  <pivotFields count="10">
    <pivotField showAll="0"/>
    <pivotField numFmtId="43" showAll="0"/>
    <pivotField numFmtId="43" showAll="0"/>
    <pivotField numFmtId="43" showAll="0"/>
    <pivotField numFmtId="17" showAll="0"/>
    <pivotField axis="axisRow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3" showAll="0"/>
    <pivotField numFmtId="9" showAll="0"/>
    <pivotField dataField="1" numFmtId="43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Management Fee Recharg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7107-0536-4B4F-8A8A-C98343F14C35}">
  <dimension ref="A1:N21"/>
  <sheetViews>
    <sheetView tabSelected="1" workbookViewId="0">
      <selection activeCell="D23" sqref="D23"/>
    </sheetView>
  </sheetViews>
  <sheetFormatPr defaultRowHeight="14.4" x14ac:dyDescent="0.3"/>
  <cols>
    <col min="1" max="1" width="16.6640625" bestFit="1" customWidth="1"/>
    <col min="2" max="2" width="15.109375" bestFit="1" customWidth="1"/>
    <col min="3" max="3" width="13.5546875" bestFit="1" customWidth="1"/>
    <col min="4" max="4" width="21.6640625" bestFit="1" customWidth="1"/>
    <col min="5" max="5" width="7.33203125" bestFit="1" customWidth="1"/>
    <col min="6" max="6" width="14.5546875" bestFit="1" customWidth="1"/>
    <col min="7" max="7" width="22.33203125" bestFit="1" customWidth="1"/>
    <col min="8" max="8" width="11.33203125" bestFit="1" customWidth="1"/>
    <col min="9" max="9" width="39.5546875" style="1" bestFit="1" customWidth="1"/>
    <col min="10" max="10" width="24.88671875" style="1" bestFit="1" customWidth="1"/>
    <col min="13" max="13" width="12.6640625" bestFit="1" customWidth="1"/>
    <col min="14" max="14" width="31.5546875" bestFit="1" customWidth="1"/>
  </cols>
  <sheetData>
    <row r="1" spans="1:14" x14ac:dyDescent="0.3">
      <c r="J1" s="2" t="s">
        <v>0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s="1" t="s">
        <v>9</v>
      </c>
      <c r="J2" s="1" t="s">
        <v>10</v>
      </c>
      <c r="M2" t="s">
        <v>11</v>
      </c>
      <c r="N2" s="3" t="s">
        <v>12</v>
      </c>
    </row>
    <row r="3" spans="1:14" x14ac:dyDescent="0.3">
      <c r="A3" t="s">
        <v>13</v>
      </c>
      <c r="B3" s="3">
        <v>10000</v>
      </c>
      <c r="C3" s="3">
        <v>1380</v>
      </c>
      <c r="D3" s="3">
        <v>110.07</v>
      </c>
      <c r="E3" s="4">
        <v>45292</v>
      </c>
      <c r="F3" t="s">
        <v>14</v>
      </c>
      <c r="G3" t="s">
        <v>15</v>
      </c>
      <c r="H3" s="3">
        <v>11490.07</v>
      </c>
      <c r="I3" s="5">
        <v>0.5</v>
      </c>
      <c r="J3" s="6">
        <f>H3*I3</f>
        <v>5745.0349999999999</v>
      </c>
      <c r="M3" s="7" t="s">
        <v>14</v>
      </c>
      <c r="N3" s="3">
        <v>60835.411750000007</v>
      </c>
    </row>
    <row r="4" spans="1:14" x14ac:dyDescent="0.3">
      <c r="A4" t="s">
        <v>16</v>
      </c>
      <c r="B4" s="3">
        <v>6250</v>
      </c>
      <c r="C4" s="3">
        <v>862.5</v>
      </c>
      <c r="D4" s="3">
        <v>110.07</v>
      </c>
      <c r="E4" s="4">
        <v>45292</v>
      </c>
      <c r="F4" t="s">
        <v>17</v>
      </c>
      <c r="G4" t="s">
        <v>18</v>
      </c>
      <c r="H4" s="3">
        <v>7222.57</v>
      </c>
      <c r="I4" s="5">
        <v>0.5</v>
      </c>
      <c r="J4" s="6">
        <f t="shared" ref="J4:J17" si="0">H4*I4</f>
        <v>3611.2849999999999</v>
      </c>
      <c r="M4" s="7" t="s">
        <v>17</v>
      </c>
      <c r="N4" s="3">
        <v>19336.545999999998</v>
      </c>
    </row>
    <row r="5" spans="1:14" x14ac:dyDescent="0.3">
      <c r="A5" t="s">
        <v>19</v>
      </c>
      <c r="B5" s="3">
        <v>8250</v>
      </c>
      <c r="C5" s="3">
        <v>1138.5</v>
      </c>
      <c r="D5" s="3">
        <v>55.034999999999997</v>
      </c>
      <c r="E5" s="4">
        <v>45292</v>
      </c>
      <c r="F5" t="s">
        <v>14</v>
      </c>
      <c r="G5" t="s">
        <v>15</v>
      </c>
      <c r="H5" s="3">
        <v>9443.5349999999999</v>
      </c>
      <c r="I5" s="5">
        <v>0.85</v>
      </c>
      <c r="J5" s="6">
        <f t="shared" si="0"/>
        <v>8027.0047500000001</v>
      </c>
      <c r="M5" s="7" t="s">
        <v>20</v>
      </c>
      <c r="N5" s="3">
        <v>80171.957750000001</v>
      </c>
    </row>
    <row r="6" spans="1:14" x14ac:dyDescent="0.3">
      <c r="A6" t="s">
        <v>16</v>
      </c>
      <c r="B6" s="3">
        <v>6250</v>
      </c>
      <c r="C6" s="3">
        <v>862.5</v>
      </c>
      <c r="D6" s="3">
        <v>110.07</v>
      </c>
      <c r="E6" s="4">
        <v>45323</v>
      </c>
      <c r="F6" t="s">
        <v>17</v>
      </c>
      <c r="G6" t="s">
        <v>18</v>
      </c>
      <c r="H6" s="3">
        <v>7222.57</v>
      </c>
      <c r="I6" s="5">
        <v>0.5</v>
      </c>
      <c r="J6" s="6">
        <f t="shared" si="0"/>
        <v>3611.2849999999999</v>
      </c>
      <c r="N6" s="3"/>
    </row>
    <row r="7" spans="1:14" x14ac:dyDescent="0.3">
      <c r="A7" t="s">
        <v>13</v>
      </c>
      <c r="B7" s="3">
        <v>10000</v>
      </c>
      <c r="C7" s="3">
        <v>1380</v>
      </c>
      <c r="D7" s="3">
        <v>110.07</v>
      </c>
      <c r="E7" s="4">
        <v>45323</v>
      </c>
      <c r="F7" t="s">
        <v>14</v>
      </c>
      <c r="G7" t="s">
        <v>15</v>
      </c>
      <c r="H7" s="3">
        <v>11490.07</v>
      </c>
      <c r="I7" s="5">
        <v>0.5</v>
      </c>
      <c r="J7" s="6">
        <f t="shared" si="0"/>
        <v>5745.0349999999999</v>
      </c>
    </row>
    <row r="8" spans="1:14" x14ac:dyDescent="0.3">
      <c r="A8" t="s">
        <v>19</v>
      </c>
      <c r="B8" s="3">
        <v>8250</v>
      </c>
      <c r="C8" s="3">
        <v>1138.5</v>
      </c>
      <c r="D8" s="3">
        <v>55.034999999999997</v>
      </c>
      <c r="E8" s="4">
        <v>45323</v>
      </c>
      <c r="F8" t="s">
        <v>14</v>
      </c>
      <c r="G8" t="s">
        <v>15</v>
      </c>
      <c r="H8" s="3">
        <v>9443.5349999999999</v>
      </c>
      <c r="I8" s="5">
        <v>0.8</v>
      </c>
      <c r="J8" s="6">
        <f t="shared" si="0"/>
        <v>7554.8280000000004</v>
      </c>
    </row>
    <row r="9" spans="1:14" x14ac:dyDescent="0.3">
      <c r="A9" t="s">
        <v>16</v>
      </c>
      <c r="B9" s="3">
        <v>6250</v>
      </c>
      <c r="C9" s="3">
        <v>862.5</v>
      </c>
      <c r="D9" s="3">
        <v>110.07</v>
      </c>
      <c r="E9" s="4">
        <v>45352</v>
      </c>
      <c r="F9" t="s">
        <v>17</v>
      </c>
      <c r="G9" t="s">
        <v>18</v>
      </c>
      <c r="H9" s="3">
        <v>7222.57</v>
      </c>
      <c r="I9" s="5">
        <v>0.5</v>
      </c>
      <c r="J9" s="6">
        <f t="shared" si="0"/>
        <v>3611.2849999999999</v>
      </c>
    </row>
    <row r="10" spans="1:14" x14ac:dyDescent="0.3">
      <c r="A10" t="s">
        <v>13</v>
      </c>
      <c r="B10" s="3">
        <v>10000</v>
      </c>
      <c r="C10" s="3">
        <v>1380</v>
      </c>
      <c r="D10" s="3">
        <v>110.07</v>
      </c>
      <c r="E10" s="4">
        <v>45352</v>
      </c>
      <c r="F10" t="s">
        <v>14</v>
      </c>
      <c r="G10" t="s">
        <v>15</v>
      </c>
      <c r="H10" s="3">
        <v>11490.07</v>
      </c>
      <c r="I10" s="5">
        <v>0.75</v>
      </c>
      <c r="J10" s="6">
        <f t="shared" si="0"/>
        <v>8617.5524999999998</v>
      </c>
    </row>
    <row r="11" spans="1:14" x14ac:dyDescent="0.3">
      <c r="A11" t="s">
        <v>19</v>
      </c>
      <c r="B11" s="3">
        <v>8250</v>
      </c>
      <c r="C11" s="3">
        <v>1138.5</v>
      </c>
      <c r="D11" s="3">
        <v>55.034999999999997</v>
      </c>
      <c r="E11" s="4">
        <v>45352</v>
      </c>
      <c r="F11" t="s">
        <v>14</v>
      </c>
      <c r="G11" t="s">
        <v>15</v>
      </c>
      <c r="H11" s="3">
        <v>9443.5349999999999</v>
      </c>
      <c r="I11" s="5">
        <v>0.8</v>
      </c>
      <c r="J11" s="6">
        <f t="shared" si="0"/>
        <v>7554.8280000000004</v>
      </c>
    </row>
    <row r="12" spans="1:14" x14ac:dyDescent="0.3">
      <c r="A12" t="s">
        <v>13</v>
      </c>
      <c r="B12" s="3">
        <v>10000</v>
      </c>
      <c r="C12" s="3">
        <v>124.2</v>
      </c>
      <c r="D12" s="3">
        <v>110.07</v>
      </c>
      <c r="E12" s="4">
        <v>45383</v>
      </c>
      <c r="F12" t="s">
        <v>14</v>
      </c>
      <c r="G12" t="s">
        <v>15</v>
      </c>
      <c r="H12" s="3">
        <v>10234.27</v>
      </c>
      <c r="I12" s="5">
        <v>0.8</v>
      </c>
      <c r="J12" s="6">
        <f t="shared" si="0"/>
        <v>8187.4160000000011</v>
      </c>
    </row>
    <row r="13" spans="1:14" x14ac:dyDescent="0.3">
      <c r="A13" t="s">
        <v>16</v>
      </c>
      <c r="B13" s="3">
        <v>6250</v>
      </c>
      <c r="C13" s="3">
        <v>0</v>
      </c>
      <c r="D13" s="3">
        <v>110.07</v>
      </c>
      <c r="E13" s="4">
        <v>45383</v>
      </c>
      <c r="F13" t="s">
        <v>17</v>
      </c>
      <c r="G13" t="s">
        <v>18</v>
      </c>
      <c r="H13" s="3">
        <v>6360.07</v>
      </c>
      <c r="I13" s="5">
        <v>0.8</v>
      </c>
      <c r="J13" s="6">
        <f t="shared" si="0"/>
        <v>5088.0560000000005</v>
      </c>
    </row>
    <row r="14" spans="1:14" x14ac:dyDescent="0.3">
      <c r="A14" t="s">
        <v>19</v>
      </c>
      <c r="B14" s="3">
        <v>500</v>
      </c>
      <c r="C14" s="3">
        <v>0</v>
      </c>
      <c r="D14" s="3">
        <v>7.2</v>
      </c>
      <c r="E14" s="4">
        <v>45383</v>
      </c>
      <c r="F14" t="s">
        <v>14</v>
      </c>
      <c r="G14" t="s">
        <v>15</v>
      </c>
      <c r="H14" s="3">
        <v>507.2</v>
      </c>
      <c r="I14" s="5">
        <v>0.8</v>
      </c>
      <c r="J14" s="6">
        <f t="shared" si="0"/>
        <v>405.76</v>
      </c>
    </row>
    <row r="15" spans="1:14" x14ac:dyDescent="0.3">
      <c r="A15" t="s">
        <v>13</v>
      </c>
      <c r="B15" s="3">
        <v>10000</v>
      </c>
      <c r="C15" s="3">
        <v>1380</v>
      </c>
      <c r="D15" s="3">
        <v>110.07</v>
      </c>
      <c r="E15" s="4">
        <v>45413</v>
      </c>
      <c r="F15" t="s">
        <v>14</v>
      </c>
      <c r="G15" t="s">
        <v>15</v>
      </c>
      <c r="H15" s="3">
        <v>11490.07</v>
      </c>
      <c r="I15" s="5">
        <v>0.75</v>
      </c>
      <c r="J15" s="6">
        <f t="shared" si="0"/>
        <v>8617.5524999999998</v>
      </c>
    </row>
    <row r="16" spans="1:14" x14ac:dyDescent="0.3">
      <c r="A16" t="s">
        <v>16</v>
      </c>
      <c r="B16" s="3">
        <v>6250</v>
      </c>
      <c r="C16" s="3">
        <v>469.2</v>
      </c>
      <c r="D16" s="3">
        <v>110.07</v>
      </c>
      <c r="E16" s="4">
        <v>45413</v>
      </c>
      <c r="F16" t="s">
        <v>17</v>
      </c>
      <c r="G16" t="s">
        <v>18</v>
      </c>
      <c r="H16" s="3">
        <v>6829.2699999999995</v>
      </c>
      <c r="I16" s="5">
        <v>0.5</v>
      </c>
      <c r="J16" s="6">
        <f t="shared" si="0"/>
        <v>3414.6349999999998</v>
      </c>
    </row>
    <row r="17" spans="1:10" x14ac:dyDescent="0.3">
      <c r="A17" t="s">
        <v>19</v>
      </c>
      <c r="B17" s="3">
        <v>500</v>
      </c>
      <c r="C17" s="3">
        <v>0</v>
      </c>
      <c r="D17" s="3">
        <v>7.2</v>
      </c>
      <c r="E17" s="4">
        <v>45413</v>
      </c>
      <c r="F17" t="s">
        <v>14</v>
      </c>
      <c r="G17" t="s">
        <v>15</v>
      </c>
      <c r="H17" s="3">
        <v>507.2</v>
      </c>
      <c r="I17" s="5">
        <v>0.75</v>
      </c>
      <c r="J17" s="6">
        <f t="shared" si="0"/>
        <v>380.4</v>
      </c>
    </row>
    <row r="18" spans="1:10" x14ac:dyDescent="0.3">
      <c r="H18" s="8">
        <f>SUM(H3:H17)</f>
        <v>120396.60499999998</v>
      </c>
      <c r="I18" s="6"/>
      <c r="J18" s="6">
        <f>SUM(J3:J17)</f>
        <v>80171.957749999987</v>
      </c>
    </row>
    <row r="20" spans="1:10" x14ac:dyDescent="0.3">
      <c r="J20" s="2" t="s">
        <v>21</v>
      </c>
    </row>
    <row r="21" spans="1:10" x14ac:dyDescent="0.3">
      <c r="J21" s="6">
        <f>J18*1.2709</f>
        <v>101890.54110447498</v>
      </c>
    </row>
  </sheetData>
  <conditionalFormatting sqref="A2:A17">
    <cfRule type="containsText" dxfId="1" priority="1" operator="containsText" text="Stuart">
      <formula>NOT(ISERROR(SEARCH("Stuart",A2)))</formula>
    </cfRule>
    <cfRule type="containsText" dxfId="0" priority="2" operator="containsText" text="Zach">
      <formula>NOT(ISERROR(SEARCH("Zach",A2)))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Management fee Recharge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Mazhar</dc:creator>
  <cp:lastModifiedBy>Bilal Mazhar</cp:lastModifiedBy>
  <dcterms:created xsi:type="dcterms:W3CDTF">2025-02-13T16:48:59Z</dcterms:created>
  <dcterms:modified xsi:type="dcterms:W3CDTF">2025-02-18T09:39:26Z</dcterms:modified>
</cp:coreProperties>
</file>